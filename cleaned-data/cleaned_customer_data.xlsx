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a1ef02cb2b176e/Desktop/Customer-data-entry-project/cleaned-data/"/>
    </mc:Choice>
  </mc:AlternateContent>
  <xr:revisionPtr revIDLastSave="1" documentId="8_{5A2E8AA4-9D15-4543-8316-C86E04AC53CA}" xr6:coauthVersionLast="47" xr6:coauthVersionMax="47" xr10:uidLastSave="{652A4CC3-DA48-4F38-9FB3-3D67A1E0A126}"/>
  <bookViews>
    <workbookView xWindow="-108" yWindow="-108" windowWidth="23256" windowHeight="13896" activeTab="3" xr2:uid="{721EF65E-3203-4C59-A134-A25A450B1485}"/>
  </bookViews>
  <sheets>
    <sheet name="Raw Entry" sheetId="1" r:id="rId1"/>
    <sheet name="Reference_data" sheetId="2" r:id="rId2"/>
    <sheet name="Quality_Summary" sheetId="3" r:id="rId3"/>
    <sheet name="Cleaned_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5" i="3"/>
  <c r="B4" i="3"/>
  <c r="B6" i="3"/>
  <c r="B3" i="3"/>
  <c r="B2" i="3"/>
  <c r="T3" i="1"/>
  <c r="T4" i="1"/>
  <c r="T5" i="1"/>
  <c r="T6" i="1"/>
  <c r="T7" i="1"/>
  <c r="T8" i="1"/>
  <c r="T9" i="1"/>
  <c r="T10" i="1"/>
  <c r="T11" i="1"/>
  <c r="T2" i="1"/>
  <c r="S3" i="1"/>
  <c r="S4" i="1"/>
  <c r="S5" i="1"/>
  <c r="S6" i="1"/>
  <c r="S7" i="1"/>
  <c r="S8" i="1"/>
  <c r="S9" i="1"/>
  <c r="S10" i="1"/>
  <c r="S11" i="1"/>
  <c r="S2" i="1"/>
  <c r="R3" i="1"/>
  <c r="R4" i="1"/>
  <c r="R5" i="1"/>
  <c r="R6" i="1"/>
  <c r="R7" i="1"/>
  <c r="R8" i="1"/>
  <c r="R9" i="1"/>
  <c r="R10" i="1"/>
  <c r="R11" i="1"/>
  <c r="R2" i="1"/>
  <c r="Q3" i="1"/>
  <c r="Q4" i="1"/>
  <c r="Q5" i="1"/>
  <c r="Q6" i="1"/>
  <c r="Q7" i="1"/>
  <c r="Q8" i="1"/>
  <c r="Q9" i="1"/>
  <c r="Q10" i="1"/>
  <c r="Q11" i="1"/>
  <c r="Q2" i="1"/>
  <c r="P2" i="1"/>
  <c r="P3" i="1"/>
  <c r="P4" i="1"/>
  <c r="P5" i="1"/>
  <c r="P6" i="1"/>
  <c r="P7" i="1"/>
  <c r="P8" i="1"/>
  <c r="P9" i="1"/>
  <c r="P10" i="1"/>
  <c r="P11" i="1"/>
  <c r="L2" i="1"/>
  <c r="O2" i="1"/>
  <c r="O3" i="1"/>
  <c r="O4" i="1"/>
  <c r="O5" i="1"/>
  <c r="O6" i="1"/>
  <c r="O7" i="1"/>
  <c r="O8" i="1"/>
  <c r="O9" i="1"/>
  <c r="O10" i="1"/>
  <c r="O11" i="1"/>
  <c r="N2" i="1"/>
  <c r="N3" i="1"/>
  <c r="N4" i="1"/>
  <c r="N5" i="1"/>
  <c r="N6" i="1"/>
  <c r="N7" i="1"/>
  <c r="N8" i="1"/>
  <c r="N9" i="1"/>
  <c r="N10" i="1"/>
  <c r="N11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K2" i="1"/>
  <c r="K3" i="1"/>
  <c r="K4" i="1"/>
  <c r="K5" i="1"/>
  <c r="K6" i="1"/>
  <c r="K7" i="1"/>
  <c r="K8" i="1"/>
  <c r="K9" i="1"/>
  <c r="K10" i="1"/>
  <c r="K11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B11" i="3" l="1"/>
</calcChain>
</file>

<file path=xl/sharedStrings.xml><?xml version="1.0" encoding="utf-8"?>
<sst xmlns="http://schemas.openxmlformats.org/spreadsheetml/2006/main" count="190" uniqueCount="88">
  <si>
    <t>Full Name</t>
  </si>
  <si>
    <t>Age</t>
  </si>
  <si>
    <t>Gender</t>
  </si>
  <si>
    <t>Phone Number</t>
  </si>
  <si>
    <t>Email</t>
  </si>
  <si>
    <t>State</t>
  </si>
  <si>
    <t>Registration Date</t>
  </si>
  <si>
    <t>C001</t>
  </si>
  <si>
    <t>Daniel Okoro</t>
  </si>
  <si>
    <t>daniel.okoro@gmail.com</t>
  </si>
  <si>
    <t>C002</t>
  </si>
  <si>
    <t>Sarah Williams</t>
  </si>
  <si>
    <t>Male</t>
  </si>
  <si>
    <t>Female</t>
  </si>
  <si>
    <t>08031234567</t>
  </si>
  <si>
    <t>08145678902</t>
  </si>
  <si>
    <t>sarah.williams@gmail.com</t>
  </si>
  <si>
    <t>Akwa Ibom</t>
  </si>
  <si>
    <t>Lagos</t>
  </si>
  <si>
    <t>C003</t>
  </si>
  <si>
    <t>C004</t>
  </si>
  <si>
    <t>C005</t>
  </si>
  <si>
    <t>C006</t>
  </si>
  <si>
    <t>C007</t>
  </si>
  <si>
    <t>C008</t>
  </si>
  <si>
    <t>C009</t>
  </si>
  <si>
    <t>C010</t>
  </si>
  <si>
    <t>Michael Johnson</t>
  </si>
  <si>
    <t>Grace Ekanem</t>
  </si>
  <si>
    <t>David Mensah</t>
  </si>
  <si>
    <t>Esther Brown</t>
  </si>
  <si>
    <t>Samuel Peters</t>
  </si>
  <si>
    <t>Linda James</t>
  </si>
  <si>
    <t>Emmanuel George</t>
  </si>
  <si>
    <t>Rebecca John</t>
  </si>
  <si>
    <t>07034567891</t>
  </si>
  <si>
    <t>09023456781</t>
  </si>
  <si>
    <t>08056789123</t>
  </si>
  <si>
    <t>08167891234</t>
  </si>
  <si>
    <t>07078912345</t>
  </si>
  <si>
    <t>09089123456</t>
  </si>
  <si>
    <t>08091234567</t>
  </si>
  <si>
    <t>08112345678</t>
  </si>
  <si>
    <t>michael.johnson@gmail.com</t>
  </si>
  <si>
    <t>grace.ekanem@gmail.com</t>
  </si>
  <si>
    <t>david.mensah@gmail.com</t>
  </si>
  <si>
    <t>esther.brown@gmail.com</t>
  </si>
  <si>
    <t>samuel.peters@gmail.com</t>
  </si>
  <si>
    <t>linda.james@gmail.com</t>
  </si>
  <si>
    <t>emmanuel.george@gmail.com</t>
  </si>
  <si>
    <t>rebecca.john@gmail.com</t>
  </si>
  <si>
    <t>Rivers</t>
  </si>
  <si>
    <t>Delta</t>
  </si>
  <si>
    <t>Cross River</t>
  </si>
  <si>
    <t>Abuja</t>
  </si>
  <si>
    <t>Enugu</t>
  </si>
  <si>
    <t>Kaduna</t>
  </si>
  <si>
    <t>Oyo</t>
  </si>
  <si>
    <t>Record ID</t>
  </si>
  <si>
    <t>Name check</t>
  </si>
  <si>
    <t>phone check</t>
  </si>
  <si>
    <t>phone format check</t>
  </si>
  <si>
    <t>Email check</t>
  </si>
  <si>
    <t>Age check</t>
  </si>
  <si>
    <t>State check</t>
  </si>
  <si>
    <t>Country</t>
  </si>
  <si>
    <t>Location</t>
  </si>
  <si>
    <t>Location Type</t>
  </si>
  <si>
    <t>Nigeria</t>
  </si>
  <si>
    <t>Fct</t>
  </si>
  <si>
    <t>Date check</t>
  </si>
  <si>
    <t>Date Range Check</t>
  </si>
  <si>
    <t>Duplicate Check</t>
  </si>
  <si>
    <t>Data Check</t>
  </si>
  <si>
    <t>Phone Duplicate Check</t>
  </si>
  <si>
    <t>Duplicate Email Check</t>
  </si>
  <si>
    <t>Data Quality Metric</t>
  </si>
  <si>
    <t>Result</t>
  </si>
  <si>
    <t>Total Records</t>
  </si>
  <si>
    <t>Complete Records</t>
  </si>
  <si>
    <t>Duplicate Record IDs</t>
  </si>
  <si>
    <t>Duplicate Phone Numbers</t>
  </si>
  <si>
    <t>Duplicate Emails</t>
  </si>
  <si>
    <t>Invalid Emails Records</t>
  </si>
  <si>
    <t>Invalid Age Records</t>
  </si>
  <si>
    <t>Unknown Locations</t>
  </si>
  <si>
    <t>Future Dates</t>
  </si>
  <si>
    <t>Invalid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</si>
</sst>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11">
    <dxf>
      <fill>
        <patternFill>
          <bgColor theme="8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A5CE00-A8EC-4B6F-B4BE-49A9DD30793F}" name="Table1" displayName="Table1" ref="A1:C10" totalsRowShown="0" headerRowDxfId="7">
  <autoFilter ref="A1:C10" xr:uid="{8BA5CE00-A8EC-4B6F-B4BE-49A9DD30793F}"/>
  <tableColumns count="3">
    <tableColumn id="1" xr3:uid="{0D6F6E29-6048-4F22-9D78-5DF448E58162}" name="Country"/>
    <tableColumn id="2" xr3:uid="{E5367BFC-4C1A-4311-B9ED-98687DBD41A0}" name="Location"/>
    <tableColumn id="3" xr3:uid="{9B8F42AE-4149-4712-A371-BE59124D337C}" name="Location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D04D58-D70B-4372-9C24-8C43D6ABFB98}" name="CleanedCustomerData" displayName="CleanedCustomerData" ref="A1:H11" totalsRowShown="0" headerRowDxfId="10">
  <autoFilter ref="A1:H11" xr:uid="{36D04D58-D70B-4372-9C24-8C43D6ABFB98}"/>
  <tableColumns count="8">
    <tableColumn id="1" xr3:uid="{6F0E2AE8-4EB7-4749-96B6-237E6DC42C86}" name="Record ID"/>
    <tableColumn id="2" xr3:uid="{097E7714-B43D-4B0E-A111-42FF7286A1D7}" name="Full Name"/>
    <tableColumn id="3" xr3:uid="{84B22477-A231-42D0-8B3F-294B18C57001}" name="Age"/>
    <tableColumn id="4" xr3:uid="{EFED767A-8B04-4AB9-9888-B74401299C8F}" name="Gender"/>
    <tableColumn id="5" xr3:uid="{65199F4C-9589-467B-833D-D8D773BB780F}" name="Phone Number" dataDxfId="9"/>
    <tableColumn id="6" xr3:uid="{58B53532-67B0-48E1-B4C7-F2DC80C153BB}" name="Email"/>
    <tableColumn id="7" xr3:uid="{E5A61964-774A-4662-AA8A-7723A853BEF9}" name="State"/>
    <tableColumn id="8" xr3:uid="{E88DD294-0F51-41D4-A99E-66A40F50329D}" name="Registration Date" dataDxfId="8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nda.james@gmail.com" TargetMode="External"/><Relationship Id="rId3" Type="http://schemas.openxmlformats.org/officeDocument/2006/relationships/hyperlink" Target="mailto:michael.johnson@gmail.com" TargetMode="External"/><Relationship Id="rId7" Type="http://schemas.openxmlformats.org/officeDocument/2006/relationships/hyperlink" Target="mailto:samuel.peters@gmail.com" TargetMode="External"/><Relationship Id="rId2" Type="http://schemas.openxmlformats.org/officeDocument/2006/relationships/hyperlink" Target="mailto:sarah.williams@gmail.com" TargetMode="External"/><Relationship Id="rId1" Type="http://schemas.openxmlformats.org/officeDocument/2006/relationships/hyperlink" Target="mailto:daniel.okoro@gmail.com" TargetMode="External"/><Relationship Id="rId6" Type="http://schemas.openxmlformats.org/officeDocument/2006/relationships/hyperlink" Target="mailto:esther.brown@gmail.com" TargetMode="External"/><Relationship Id="rId5" Type="http://schemas.openxmlformats.org/officeDocument/2006/relationships/hyperlink" Target="mailto:david.mensah@gmail.com" TargetMode="External"/><Relationship Id="rId10" Type="http://schemas.openxmlformats.org/officeDocument/2006/relationships/hyperlink" Target="mailto:rebecca.john@gmail.com" TargetMode="External"/><Relationship Id="rId4" Type="http://schemas.openxmlformats.org/officeDocument/2006/relationships/hyperlink" Target="mailto:grace.ekanem@gmail.com" TargetMode="External"/><Relationship Id="rId9" Type="http://schemas.openxmlformats.org/officeDocument/2006/relationships/hyperlink" Target="mailto:emmanuel.georg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CE6B-D2EB-4429-ACB8-3786889A6A12}">
  <dimension ref="A1:T11"/>
  <sheetViews>
    <sheetView workbookViewId="0">
      <selection sqref="A1:H11"/>
    </sheetView>
  </sheetViews>
  <sheetFormatPr defaultRowHeight="14.4" x14ac:dyDescent="0.3"/>
  <cols>
    <col min="1" max="1" width="10.6640625" customWidth="1"/>
    <col min="2" max="2" width="15.88671875" customWidth="1"/>
    <col min="3" max="3" width="10.5546875" customWidth="1"/>
    <col min="4" max="4" width="13.109375" customWidth="1"/>
    <col min="5" max="5" width="21.44140625" style="4" bestFit="1" customWidth="1"/>
    <col min="6" max="6" width="25.77734375" customWidth="1"/>
    <col min="7" max="7" width="11" customWidth="1"/>
    <col min="8" max="8" width="16.44140625" customWidth="1"/>
    <col min="9" max="9" width="15.21875" customWidth="1"/>
    <col min="10" max="10" width="13" customWidth="1"/>
    <col min="11" max="11" width="18" customWidth="1"/>
    <col min="12" max="13" width="11.109375" customWidth="1"/>
    <col min="14" max="14" width="11" customWidth="1"/>
    <col min="15" max="15" width="10.33203125" customWidth="1"/>
    <col min="16" max="16" width="15.88671875" bestFit="1" customWidth="1"/>
    <col min="17" max="17" width="15.44140625" customWidth="1"/>
    <col min="18" max="18" width="11.5546875" customWidth="1"/>
    <col min="19" max="19" width="20.21875" customWidth="1"/>
    <col min="20" max="20" width="19.77734375" customWidth="1"/>
  </cols>
  <sheetData>
    <row r="1" spans="1:20" x14ac:dyDescent="0.3">
      <c r="A1" s="1" t="s">
        <v>58</v>
      </c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</row>
    <row r="2" spans="1:20" x14ac:dyDescent="0.3">
      <c r="A2" t="s">
        <v>7</v>
      </c>
      <c r="B2" t="s">
        <v>8</v>
      </c>
      <c r="C2">
        <v>24</v>
      </c>
      <c r="D2" t="s">
        <v>12</v>
      </c>
      <c r="E2" s="4" t="s">
        <v>14</v>
      </c>
      <c r="F2" s="2" t="s">
        <v>9</v>
      </c>
      <c r="G2" t="s">
        <v>17</v>
      </c>
      <c r="H2" s="5">
        <v>46034</v>
      </c>
      <c r="I2" t="str">
        <f>TRIM(B2)</f>
        <v>Daniel Okoro</v>
      </c>
      <c r="J2">
        <f>LEN(E2)</f>
        <v>11</v>
      </c>
      <c r="K2" t="str">
        <f>LEFT(E2,1)</f>
        <v>0</v>
      </c>
      <c r="L2" t="str">
        <f>IF(AND(ISNUMBER(SEARCH("@",F2)),ISNUMBER(SEARCH(".",F2))),"Valid","Check")</f>
        <v>Valid</v>
      </c>
      <c r="M2" t="str">
        <f>IF(AND(C2&gt;=18,C2&lt;=60),"Acceptable","Unacceptable")</f>
        <v>Acceptable</v>
      </c>
      <c r="N2" t="str">
        <f>_xlfn.XLOOKUP(G2,Table1[Location], Table1[Location Type],"Unknown")</f>
        <v>State</v>
      </c>
      <c r="O2" t="str">
        <f>IF(ISNUMBER(H2),"Valid Date","Check")</f>
        <v>Valid Date</v>
      </c>
      <c r="P2" t="str">
        <f ca="1">IF(H2&lt;=TODAY(),"Valid","Future Date")</f>
        <v>Valid</v>
      </c>
      <c r="Q2" t="str">
        <f>IF(COUNTIF(A2:A11,A2)&gt;1,"Duplicate","Unique")</f>
        <v>Unique</v>
      </c>
      <c r="R2" t="str">
        <f>IF(COUNTA(A2:H2)=8,"Complete","Missing Data")</f>
        <v>Complete</v>
      </c>
      <c r="S2" t="str">
        <f>IF(COUNTIF(E2:E11,E2)&gt;1,"Duplicate","Unique")</f>
        <v>Unique</v>
      </c>
      <c r="T2" t="str">
        <f>IF(COUNTIF(F2:F11,F2)&gt;1, "Duplicate","Unique")</f>
        <v>Unique</v>
      </c>
    </row>
    <row r="3" spans="1:20" x14ac:dyDescent="0.3">
      <c r="A3" t="s">
        <v>10</v>
      </c>
      <c r="B3" t="s">
        <v>11</v>
      </c>
      <c r="C3">
        <v>29</v>
      </c>
      <c r="D3" t="s">
        <v>13</v>
      </c>
      <c r="E3" s="4" t="s">
        <v>15</v>
      </c>
      <c r="F3" s="2" t="s">
        <v>16</v>
      </c>
      <c r="G3" t="s">
        <v>18</v>
      </c>
      <c r="H3" s="5">
        <v>46037</v>
      </c>
      <c r="I3" t="str">
        <f t="shared" ref="I3:I11" si="0">TRIM(B3)</f>
        <v>Sarah Williams</v>
      </c>
      <c r="J3">
        <f t="shared" ref="J3:J11" si="1">LEN(E3)</f>
        <v>11</v>
      </c>
      <c r="K3" t="str">
        <f t="shared" ref="K3:K11" si="2">LEFT(E3,1)</f>
        <v>0</v>
      </c>
      <c r="L3" t="str">
        <f t="shared" ref="L3:L11" si="3">IF(AND(ISNUMBER(SEARCH("@",F3)),ISNUMBER(SEARCH(".",F3))),"Valid","Check")</f>
        <v>Valid</v>
      </c>
      <c r="M3" t="str">
        <f t="shared" ref="M3:M11" si="4">IF(AND(C3&gt;=18,C3&lt;=60),"Acceptable","Unacceptable")</f>
        <v>Acceptable</v>
      </c>
      <c r="N3" t="str">
        <f>_xlfn.XLOOKUP(G3,Table1[Location], Table1[Location Type],"Unknown")</f>
        <v>State</v>
      </c>
      <c r="O3" t="str">
        <f t="shared" ref="O3:O11" si="5">IF(ISNUMBER(H3),"Valid Date","Check")</f>
        <v>Valid Date</v>
      </c>
      <c r="P3" t="str">
        <f t="shared" ref="P3:P11" ca="1" si="6">IF(H3&lt;=TODAY(),"Valid","Future Date")</f>
        <v>Valid</v>
      </c>
      <c r="Q3" t="str">
        <f t="shared" ref="Q3:Q11" si="7">IF(COUNTIF(A3:A12,A3)&gt;1,"Duplicate","Unique")</f>
        <v>Unique</v>
      </c>
      <c r="R3" t="str">
        <f t="shared" ref="R3:R11" si="8">IF(COUNTA(A3:H3)=8,"Complete","Missing Data")</f>
        <v>Complete</v>
      </c>
      <c r="S3" t="str">
        <f t="shared" ref="S3:S11" si="9">IF(COUNTIF(E3:E12,E3)&gt;1,"Duplicate","Unique")</f>
        <v>Unique</v>
      </c>
      <c r="T3" t="str">
        <f t="shared" ref="T3:T11" si="10">IF(COUNTIF(F3:F12,F3)&gt;1, "Duplicate","Unique")</f>
        <v>Unique</v>
      </c>
    </row>
    <row r="4" spans="1:20" x14ac:dyDescent="0.3">
      <c r="A4" t="s">
        <v>19</v>
      </c>
      <c r="B4" t="s">
        <v>27</v>
      </c>
      <c r="C4">
        <v>31</v>
      </c>
      <c r="D4" t="s">
        <v>12</v>
      </c>
      <c r="E4" s="4" t="s">
        <v>35</v>
      </c>
      <c r="F4" s="2" t="s">
        <v>43</v>
      </c>
      <c r="G4" t="s">
        <v>51</v>
      </c>
      <c r="H4" s="5">
        <v>46040</v>
      </c>
      <c r="I4" t="str">
        <f t="shared" si="0"/>
        <v>Michael Johnson</v>
      </c>
      <c r="J4">
        <f t="shared" si="1"/>
        <v>11</v>
      </c>
      <c r="K4" t="str">
        <f t="shared" si="2"/>
        <v>0</v>
      </c>
      <c r="L4" t="str">
        <f t="shared" si="3"/>
        <v>Valid</v>
      </c>
      <c r="M4" t="str">
        <f t="shared" si="4"/>
        <v>Acceptable</v>
      </c>
      <c r="N4" t="str">
        <f>_xlfn.XLOOKUP(G4,Table1[Location], Table1[Location Type],"Unknown")</f>
        <v>State</v>
      </c>
      <c r="O4" t="str">
        <f t="shared" si="5"/>
        <v>Valid Date</v>
      </c>
      <c r="P4" t="str">
        <f t="shared" ca="1" si="6"/>
        <v>Valid</v>
      </c>
      <c r="Q4" t="str">
        <f t="shared" si="7"/>
        <v>Unique</v>
      </c>
      <c r="R4" t="str">
        <f t="shared" si="8"/>
        <v>Complete</v>
      </c>
      <c r="S4" t="str">
        <f t="shared" si="9"/>
        <v>Unique</v>
      </c>
      <c r="T4" t="str">
        <f t="shared" si="10"/>
        <v>Unique</v>
      </c>
    </row>
    <row r="5" spans="1:20" x14ac:dyDescent="0.3">
      <c r="A5" t="s">
        <v>20</v>
      </c>
      <c r="B5" t="s">
        <v>28</v>
      </c>
      <c r="C5">
        <v>22</v>
      </c>
      <c r="D5" t="s">
        <v>13</v>
      </c>
      <c r="E5" s="4" t="s">
        <v>36</v>
      </c>
      <c r="F5" s="2" t="s">
        <v>44</v>
      </c>
      <c r="G5" t="s">
        <v>53</v>
      </c>
      <c r="H5" s="5">
        <v>46043</v>
      </c>
      <c r="I5" t="str">
        <f t="shared" si="0"/>
        <v>Grace Ekanem</v>
      </c>
      <c r="J5">
        <f t="shared" si="1"/>
        <v>11</v>
      </c>
      <c r="K5" t="str">
        <f t="shared" si="2"/>
        <v>0</v>
      </c>
      <c r="L5" t="str">
        <f t="shared" si="3"/>
        <v>Valid</v>
      </c>
      <c r="M5" t="str">
        <f t="shared" si="4"/>
        <v>Acceptable</v>
      </c>
      <c r="N5" t="str">
        <f>_xlfn.XLOOKUP(G5,Table1[Location], Table1[Location Type],"Unknown")</f>
        <v>State</v>
      </c>
      <c r="O5" t="str">
        <f t="shared" si="5"/>
        <v>Valid Date</v>
      </c>
      <c r="P5" t="str">
        <f t="shared" ca="1" si="6"/>
        <v>Valid</v>
      </c>
      <c r="Q5" t="str">
        <f t="shared" si="7"/>
        <v>Unique</v>
      </c>
      <c r="R5" t="str">
        <f t="shared" si="8"/>
        <v>Complete</v>
      </c>
      <c r="S5" t="str">
        <f t="shared" si="9"/>
        <v>Unique</v>
      </c>
      <c r="T5" t="str">
        <f t="shared" si="10"/>
        <v>Unique</v>
      </c>
    </row>
    <row r="6" spans="1:20" x14ac:dyDescent="0.3">
      <c r="A6" t="s">
        <v>21</v>
      </c>
      <c r="B6" t="s">
        <v>29</v>
      </c>
      <c r="C6">
        <v>27</v>
      </c>
      <c r="D6" t="s">
        <v>12</v>
      </c>
      <c r="E6" s="4" t="s">
        <v>37</v>
      </c>
      <c r="F6" s="2" t="s">
        <v>45</v>
      </c>
      <c r="G6" t="s">
        <v>52</v>
      </c>
      <c r="H6" s="5">
        <v>46047</v>
      </c>
      <c r="I6" t="str">
        <f t="shared" si="0"/>
        <v>David Mensah</v>
      </c>
      <c r="J6">
        <f t="shared" si="1"/>
        <v>11</v>
      </c>
      <c r="K6" t="str">
        <f t="shared" si="2"/>
        <v>0</v>
      </c>
      <c r="L6" t="str">
        <f t="shared" si="3"/>
        <v>Valid</v>
      </c>
      <c r="M6" t="str">
        <f t="shared" si="4"/>
        <v>Acceptable</v>
      </c>
      <c r="N6" t="str">
        <f>_xlfn.XLOOKUP(G6,Table1[Location], Table1[Location Type],"Unknown")</f>
        <v>State</v>
      </c>
      <c r="O6" t="str">
        <f t="shared" si="5"/>
        <v>Valid Date</v>
      </c>
      <c r="P6" t="str">
        <f t="shared" ca="1" si="6"/>
        <v>Valid</v>
      </c>
      <c r="Q6" t="str">
        <f t="shared" si="7"/>
        <v>Unique</v>
      </c>
      <c r="R6" t="str">
        <f t="shared" si="8"/>
        <v>Complete</v>
      </c>
      <c r="S6" t="str">
        <f t="shared" si="9"/>
        <v>Unique</v>
      </c>
      <c r="T6" t="str">
        <f t="shared" si="10"/>
        <v>Unique</v>
      </c>
    </row>
    <row r="7" spans="1:20" x14ac:dyDescent="0.3">
      <c r="A7" t="s">
        <v>22</v>
      </c>
      <c r="B7" t="s">
        <v>30</v>
      </c>
      <c r="C7">
        <v>26</v>
      </c>
      <c r="D7" t="s">
        <v>13</v>
      </c>
      <c r="E7" s="4" t="s">
        <v>38</v>
      </c>
      <c r="F7" s="2" t="s">
        <v>46</v>
      </c>
      <c r="G7" t="s">
        <v>54</v>
      </c>
      <c r="H7" s="5">
        <v>46050</v>
      </c>
      <c r="I7" t="str">
        <f t="shared" si="0"/>
        <v>Esther Brown</v>
      </c>
      <c r="J7">
        <f t="shared" si="1"/>
        <v>11</v>
      </c>
      <c r="K7" t="str">
        <f t="shared" si="2"/>
        <v>0</v>
      </c>
      <c r="L7" t="str">
        <f t="shared" si="3"/>
        <v>Valid</v>
      </c>
      <c r="M7" t="str">
        <f t="shared" si="4"/>
        <v>Acceptable</v>
      </c>
      <c r="N7" t="str">
        <f>_xlfn.XLOOKUP(G7,Table1[Location], Table1[Location Type],"Unknown")</f>
        <v>Fct</v>
      </c>
      <c r="O7" t="str">
        <f t="shared" si="5"/>
        <v>Valid Date</v>
      </c>
      <c r="P7" t="str">
        <f t="shared" ca="1" si="6"/>
        <v>Valid</v>
      </c>
      <c r="Q7" t="str">
        <f t="shared" si="7"/>
        <v>Unique</v>
      </c>
      <c r="R7" t="str">
        <f t="shared" si="8"/>
        <v>Complete</v>
      </c>
      <c r="S7" t="str">
        <f t="shared" si="9"/>
        <v>Unique</v>
      </c>
      <c r="T7" t="str">
        <f t="shared" si="10"/>
        <v>Unique</v>
      </c>
    </row>
    <row r="8" spans="1:20" x14ac:dyDescent="0.3">
      <c r="A8" t="s">
        <v>23</v>
      </c>
      <c r="B8" t="s">
        <v>31</v>
      </c>
      <c r="C8">
        <v>35</v>
      </c>
      <c r="D8" t="s">
        <v>12</v>
      </c>
      <c r="E8" s="4" t="s">
        <v>39</v>
      </c>
      <c r="F8" s="2" t="s">
        <v>47</v>
      </c>
      <c r="G8" t="s">
        <v>55</v>
      </c>
      <c r="H8" s="5">
        <v>46055</v>
      </c>
      <c r="I8" t="str">
        <f t="shared" si="0"/>
        <v>Samuel Peters</v>
      </c>
      <c r="J8">
        <f t="shared" si="1"/>
        <v>11</v>
      </c>
      <c r="K8" t="str">
        <f t="shared" si="2"/>
        <v>0</v>
      </c>
      <c r="L8" t="str">
        <f t="shared" si="3"/>
        <v>Valid</v>
      </c>
      <c r="M8" t="str">
        <f t="shared" si="4"/>
        <v>Acceptable</v>
      </c>
      <c r="N8" t="str">
        <f>_xlfn.XLOOKUP(G8,Table1[Location], Table1[Location Type],"Unknown")</f>
        <v>State</v>
      </c>
      <c r="O8" t="str">
        <f t="shared" si="5"/>
        <v>Valid Date</v>
      </c>
      <c r="P8" t="str">
        <f t="shared" ca="1" si="6"/>
        <v>Valid</v>
      </c>
      <c r="Q8" t="str">
        <f t="shared" si="7"/>
        <v>Unique</v>
      </c>
      <c r="R8" t="str">
        <f t="shared" si="8"/>
        <v>Complete</v>
      </c>
      <c r="S8" t="str">
        <f t="shared" si="9"/>
        <v>Unique</v>
      </c>
      <c r="T8" t="str">
        <f t="shared" si="10"/>
        <v>Unique</v>
      </c>
    </row>
    <row r="9" spans="1:20" x14ac:dyDescent="0.3">
      <c r="A9" t="s">
        <v>24</v>
      </c>
      <c r="B9" t="s">
        <v>32</v>
      </c>
      <c r="C9">
        <v>30</v>
      </c>
      <c r="D9" t="s">
        <v>13</v>
      </c>
      <c r="E9" s="4" t="s">
        <v>40</v>
      </c>
      <c r="F9" s="2" t="s">
        <v>48</v>
      </c>
      <c r="G9" t="s">
        <v>56</v>
      </c>
      <c r="H9" s="5">
        <v>46058</v>
      </c>
      <c r="I9" t="str">
        <f t="shared" si="0"/>
        <v>Linda James</v>
      </c>
      <c r="J9">
        <f t="shared" si="1"/>
        <v>11</v>
      </c>
      <c r="K9" t="str">
        <f t="shared" si="2"/>
        <v>0</v>
      </c>
      <c r="L9" t="str">
        <f t="shared" si="3"/>
        <v>Valid</v>
      </c>
      <c r="M9" t="str">
        <f t="shared" si="4"/>
        <v>Acceptable</v>
      </c>
      <c r="N9" t="str">
        <f>_xlfn.XLOOKUP(G9,Table1[Location], Table1[Location Type],"Unknown")</f>
        <v>State</v>
      </c>
      <c r="O9" t="str">
        <f t="shared" si="5"/>
        <v>Valid Date</v>
      </c>
      <c r="P9" t="str">
        <f t="shared" ca="1" si="6"/>
        <v>Valid</v>
      </c>
      <c r="Q9" t="str">
        <f t="shared" si="7"/>
        <v>Unique</v>
      </c>
      <c r="R9" t="str">
        <f t="shared" si="8"/>
        <v>Complete</v>
      </c>
      <c r="S9" t="str">
        <f t="shared" si="9"/>
        <v>Unique</v>
      </c>
      <c r="T9" t="str">
        <f t="shared" si="10"/>
        <v>Unique</v>
      </c>
    </row>
    <row r="10" spans="1:20" x14ac:dyDescent="0.3">
      <c r="A10" t="s">
        <v>25</v>
      </c>
      <c r="B10" t="s">
        <v>33</v>
      </c>
      <c r="C10">
        <v>28</v>
      </c>
      <c r="D10" t="s">
        <v>12</v>
      </c>
      <c r="E10" s="4" t="s">
        <v>41</v>
      </c>
      <c r="F10" s="2" t="s">
        <v>49</v>
      </c>
      <c r="G10" t="s">
        <v>17</v>
      </c>
      <c r="H10" s="5">
        <v>46061</v>
      </c>
      <c r="I10" t="str">
        <f t="shared" si="0"/>
        <v>Emmanuel George</v>
      </c>
      <c r="J10">
        <f t="shared" si="1"/>
        <v>11</v>
      </c>
      <c r="K10" t="str">
        <f t="shared" si="2"/>
        <v>0</v>
      </c>
      <c r="L10" t="str">
        <f t="shared" si="3"/>
        <v>Valid</v>
      </c>
      <c r="M10" t="str">
        <f t="shared" si="4"/>
        <v>Acceptable</v>
      </c>
      <c r="N10" t="str">
        <f>_xlfn.XLOOKUP(G10,Table1[Location], Table1[Location Type],"Unknown")</f>
        <v>State</v>
      </c>
      <c r="O10" t="str">
        <f t="shared" si="5"/>
        <v>Valid Date</v>
      </c>
      <c r="P10" t="str">
        <f t="shared" ca="1" si="6"/>
        <v>Valid</v>
      </c>
      <c r="Q10" t="str">
        <f t="shared" si="7"/>
        <v>Unique</v>
      </c>
      <c r="R10" t="str">
        <f t="shared" si="8"/>
        <v>Complete</v>
      </c>
      <c r="S10" t="str">
        <f t="shared" si="9"/>
        <v>Unique</v>
      </c>
      <c r="T10" t="str">
        <f t="shared" si="10"/>
        <v>Unique</v>
      </c>
    </row>
    <row r="11" spans="1:20" x14ac:dyDescent="0.3">
      <c r="A11" t="s">
        <v>26</v>
      </c>
      <c r="B11" t="s">
        <v>34</v>
      </c>
      <c r="C11">
        <v>23</v>
      </c>
      <c r="D11" t="s">
        <v>13</v>
      </c>
      <c r="E11" s="4" t="s">
        <v>42</v>
      </c>
      <c r="F11" s="2" t="s">
        <v>50</v>
      </c>
      <c r="G11" t="s">
        <v>57</v>
      </c>
      <c r="H11" s="5">
        <v>46064</v>
      </c>
      <c r="I11" t="str">
        <f t="shared" si="0"/>
        <v>Rebecca John</v>
      </c>
      <c r="J11">
        <f t="shared" si="1"/>
        <v>11</v>
      </c>
      <c r="K11" t="str">
        <f t="shared" si="2"/>
        <v>0</v>
      </c>
      <c r="L11" t="str">
        <f t="shared" si="3"/>
        <v>Valid</v>
      </c>
      <c r="M11" t="str">
        <f t="shared" si="4"/>
        <v>Acceptable</v>
      </c>
      <c r="N11" t="str">
        <f>_xlfn.XLOOKUP(G11,Table1[Location], Table1[Location Type],"Unknown")</f>
        <v>State</v>
      </c>
      <c r="O11" t="str">
        <f t="shared" si="5"/>
        <v>Valid Date</v>
      </c>
      <c r="P11" t="str">
        <f t="shared" ca="1" si="6"/>
        <v>Valid</v>
      </c>
      <c r="Q11" t="str">
        <f t="shared" si="7"/>
        <v>Unique</v>
      </c>
      <c r="R11" t="str">
        <f t="shared" si="8"/>
        <v>Complete</v>
      </c>
      <c r="S11" t="str">
        <f t="shared" si="9"/>
        <v>Unique</v>
      </c>
      <c r="T11" t="str">
        <f t="shared" si="10"/>
        <v>Unique</v>
      </c>
    </row>
  </sheetData>
  <conditionalFormatting sqref="B1:B1048576">
    <cfRule type="duplicateValues" dxfId="6" priority="6"/>
  </conditionalFormatting>
  <conditionalFormatting sqref="B2:B11">
    <cfRule type="containsBlanks" dxfId="5" priority="4">
      <formula>LEN(TRIM(B2))=0</formula>
    </cfRule>
    <cfRule type="containsBlanks" dxfId="4" priority="5">
      <formula>LEN(TRIM(B2))=0</formula>
    </cfRule>
  </conditionalFormatting>
  <conditionalFormatting sqref="E2:E11">
    <cfRule type="duplicateValues" dxfId="3" priority="3"/>
  </conditionalFormatting>
  <conditionalFormatting sqref="E23">
    <cfRule type="duplicateValues" dxfId="2" priority="7"/>
  </conditionalFormatting>
  <conditionalFormatting sqref="F2:F11">
    <cfRule type="containsBlanks" dxfId="1" priority="2">
      <formula>LEN(TRIM(F2))=0</formula>
    </cfRule>
  </conditionalFormatting>
  <conditionalFormatting sqref="H2:H11">
    <cfRule type="containsBlanks" dxfId="0" priority="1">
      <formula>LEN(TRIM(H2))=0</formula>
    </cfRule>
  </conditionalFormatting>
  <hyperlinks>
    <hyperlink ref="F2" r:id="rId1" xr:uid="{CF49D134-A2FA-43CA-BE78-C48A59CD2228}"/>
    <hyperlink ref="F3" r:id="rId2" xr:uid="{FA955CBB-7AC9-47CB-839F-F8E40FF23C47}"/>
    <hyperlink ref="F4" r:id="rId3" xr:uid="{B7AE27CA-B2EC-4A74-9174-AA9320077979}"/>
    <hyperlink ref="F5" r:id="rId4" xr:uid="{D1591246-D712-4F15-AA3A-7A0EF29F4190}"/>
    <hyperlink ref="F6" r:id="rId5" xr:uid="{1F90D16C-3653-4980-8A81-C87A3303CE73}"/>
    <hyperlink ref="F7" r:id="rId6" xr:uid="{052A5399-00DF-4C64-A606-C9597284BCB2}"/>
    <hyperlink ref="F8" r:id="rId7" xr:uid="{FAFB1E72-91DF-4587-BEF0-FC2CFDB16AE6}"/>
    <hyperlink ref="F9" r:id="rId8" xr:uid="{6AD6BEEB-9EAD-418A-B83B-ADE0A56E4B2E}"/>
    <hyperlink ref="F10" r:id="rId9" xr:uid="{B47BCACC-0905-4BA2-924A-71718BE7EDD7}"/>
    <hyperlink ref="F11" r:id="rId10" xr:uid="{3F90A95D-F5A5-4FE4-9C05-B83C827A6A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FCFB-1C8F-4A65-BD49-1EBEED4458A9}">
  <dimension ref="A1:C10"/>
  <sheetViews>
    <sheetView workbookViewId="0">
      <selection activeCell="D8" sqref="D8"/>
    </sheetView>
  </sheetViews>
  <sheetFormatPr defaultRowHeight="14.4" x14ac:dyDescent="0.3"/>
  <cols>
    <col min="1" max="1" width="9.33203125" customWidth="1"/>
    <col min="2" max="2" width="10.33203125" customWidth="1"/>
    <col min="3" max="3" width="14.21875" customWidth="1"/>
  </cols>
  <sheetData>
    <row r="1" spans="1:3" x14ac:dyDescent="0.3">
      <c r="A1" s="1" t="s">
        <v>65</v>
      </c>
      <c r="B1" s="1" t="s">
        <v>66</v>
      </c>
      <c r="C1" s="1" t="s">
        <v>67</v>
      </c>
    </row>
    <row r="2" spans="1:3" x14ac:dyDescent="0.3">
      <c r="A2" t="s">
        <v>68</v>
      </c>
      <c r="B2" t="s">
        <v>17</v>
      </c>
      <c r="C2" t="s">
        <v>5</v>
      </c>
    </row>
    <row r="3" spans="1:3" x14ac:dyDescent="0.3">
      <c r="A3" t="s">
        <v>68</v>
      </c>
      <c r="B3" t="s">
        <v>18</v>
      </c>
      <c r="C3" t="s">
        <v>5</v>
      </c>
    </row>
    <row r="4" spans="1:3" x14ac:dyDescent="0.3">
      <c r="A4" t="s">
        <v>68</v>
      </c>
      <c r="B4" t="s">
        <v>51</v>
      </c>
      <c r="C4" t="s">
        <v>5</v>
      </c>
    </row>
    <row r="5" spans="1:3" x14ac:dyDescent="0.3">
      <c r="A5" t="s">
        <v>68</v>
      </c>
      <c r="B5" t="s">
        <v>53</v>
      </c>
      <c r="C5" t="s">
        <v>5</v>
      </c>
    </row>
    <row r="6" spans="1:3" x14ac:dyDescent="0.3">
      <c r="A6" t="s">
        <v>68</v>
      </c>
      <c r="B6" t="s">
        <v>52</v>
      </c>
      <c r="C6" t="s">
        <v>5</v>
      </c>
    </row>
    <row r="7" spans="1:3" x14ac:dyDescent="0.3">
      <c r="A7" t="s">
        <v>68</v>
      </c>
      <c r="B7" t="s">
        <v>54</v>
      </c>
      <c r="C7" t="s">
        <v>69</v>
      </c>
    </row>
    <row r="8" spans="1:3" x14ac:dyDescent="0.3">
      <c r="A8" t="s">
        <v>68</v>
      </c>
      <c r="B8" t="s">
        <v>55</v>
      </c>
      <c r="C8" t="s">
        <v>5</v>
      </c>
    </row>
    <row r="9" spans="1:3" x14ac:dyDescent="0.3">
      <c r="A9" t="s">
        <v>68</v>
      </c>
      <c r="B9" t="s">
        <v>56</v>
      </c>
      <c r="C9" t="s">
        <v>5</v>
      </c>
    </row>
    <row r="10" spans="1:3" x14ac:dyDescent="0.3">
      <c r="A10" t="s">
        <v>68</v>
      </c>
      <c r="B10" t="s">
        <v>57</v>
      </c>
      <c r="C10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ED52-88E6-47CC-A80A-6FC59A347ACA}">
  <dimension ref="A1:B11"/>
  <sheetViews>
    <sheetView workbookViewId="0">
      <selection activeCell="B12" sqref="B12"/>
    </sheetView>
  </sheetViews>
  <sheetFormatPr defaultRowHeight="14.4" x14ac:dyDescent="0.3"/>
  <cols>
    <col min="1" max="1" width="21.77734375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t="s">
        <v>78</v>
      </c>
      <c r="B2">
        <f>COUNTA('Raw Entry'!A2:A11)</f>
        <v>10</v>
      </c>
    </row>
    <row r="3" spans="1:2" x14ac:dyDescent="0.3">
      <c r="A3" t="s">
        <v>79</v>
      </c>
      <c r="B3">
        <f>COUNTIF('Raw Entry'!R2:R11,"Complete")</f>
        <v>10</v>
      </c>
    </row>
    <row r="4" spans="1:2" x14ac:dyDescent="0.3">
      <c r="A4" t="s">
        <v>80</v>
      </c>
      <c r="B4">
        <f>COUNTIF('Raw Entry'!Q2:Q11,"Duplicate")</f>
        <v>0</v>
      </c>
    </row>
    <row r="5" spans="1:2" x14ac:dyDescent="0.3">
      <c r="A5" t="s">
        <v>81</v>
      </c>
      <c r="B5">
        <f>COUNTIF('Raw Entry'!S2:S11,"Duplicate")</f>
        <v>0</v>
      </c>
    </row>
    <row r="6" spans="1:2" x14ac:dyDescent="0.3">
      <c r="A6" t="s">
        <v>82</v>
      </c>
      <c r="B6">
        <f>COUNTIF('Raw Entry'!T2:T11,"Duplicate")</f>
        <v>0</v>
      </c>
    </row>
    <row r="7" spans="1:2" x14ac:dyDescent="0.3">
      <c r="A7" t="s">
        <v>83</v>
      </c>
      <c r="B7">
        <f>COUNTIF('Raw Entry'!L2:L11,"Check")</f>
        <v>0</v>
      </c>
    </row>
    <row r="8" spans="1:2" x14ac:dyDescent="0.3">
      <c r="A8" t="s">
        <v>84</v>
      </c>
      <c r="B8">
        <f>COUNTIF('Raw Entry'!M2:M11,"Invalid")</f>
        <v>0</v>
      </c>
    </row>
    <row r="9" spans="1:2" x14ac:dyDescent="0.3">
      <c r="A9" t="s">
        <v>85</v>
      </c>
      <c r="B9">
        <f>COUNTIF('Raw Entry'!N2:N11,"Unknown")</f>
        <v>0</v>
      </c>
    </row>
    <row r="10" spans="1:2" x14ac:dyDescent="0.3">
      <c r="A10" t="s">
        <v>87</v>
      </c>
      <c r="B10">
        <f>COUNTIF('Raw Entry'!O1:O11,"Check")</f>
        <v>0</v>
      </c>
    </row>
    <row r="11" spans="1:2" x14ac:dyDescent="0.3">
      <c r="A11" t="s">
        <v>86</v>
      </c>
      <c r="B11">
        <f ca="1">COUNTIF('Raw Entry'!P2:P11,"Future Data")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33AA-3820-4742-BD17-0BCE684A6D2B}">
  <dimension ref="A1:H11"/>
  <sheetViews>
    <sheetView tabSelected="1" workbookViewId="0">
      <selection activeCell="F15" sqref="F15"/>
    </sheetView>
  </sheetViews>
  <sheetFormatPr defaultRowHeight="14.4" x14ac:dyDescent="0.3"/>
  <cols>
    <col min="1" max="1" width="10.88671875" customWidth="1"/>
    <col min="2" max="2" width="12.6640625" customWidth="1"/>
    <col min="4" max="4" width="9" customWidth="1"/>
    <col min="5" max="5" width="15.109375" style="4" customWidth="1"/>
    <col min="6" max="6" width="26.88671875" customWidth="1"/>
    <col min="7" max="7" width="11.21875" customWidth="1"/>
    <col min="8" max="8" width="17.109375" style="5" customWidth="1"/>
  </cols>
  <sheetData>
    <row r="1" spans="1:8" x14ac:dyDescent="0.3">
      <c r="A1" s="1" t="s">
        <v>58</v>
      </c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  <c r="H1" s="6" t="s">
        <v>6</v>
      </c>
    </row>
    <row r="2" spans="1:8" x14ac:dyDescent="0.3">
      <c r="A2" t="s">
        <v>7</v>
      </c>
      <c r="B2" t="s">
        <v>8</v>
      </c>
      <c r="C2">
        <v>24</v>
      </c>
      <c r="D2" t="s">
        <v>12</v>
      </c>
      <c r="E2" s="4" t="s">
        <v>14</v>
      </c>
      <c r="F2" t="s">
        <v>9</v>
      </c>
      <c r="G2" t="s">
        <v>17</v>
      </c>
      <c r="H2" s="5">
        <v>46034</v>
      </c>
    </row>
    <row r="3" spans="1:8" x14ac:dyDescent="0.3">
      <c r="A3" t="s">
        <v>10</v>
      </c>
      <c r="B3" t="s">
        <v>11</v>
      </c>
      <c r="C3">
        <v>29</v>
      </c>
      <c r="D3" t="s">
        <v>13</v>
      </c>
      <c r="E3" s="4" t="s">
        <v>15</v>
      </c>
      <c r="F3" t="s">
        <v>16</v>
      </c>
      <c r="G3" t="s">
        <v>18</v>
      </c>
      <c r="H3" s="5">
        <v>46037</v>
      </c>
    </row>
    <row r="4" spans="1:8" x14ac:dyDescent="0.3">
      <c r="A4" t="s">
        <v>19</v>
      </c>
      <c r="B4" t="s">
        <v>27</v>
      </c>
      <c r="C4">
        <v>31</v>
      </c>
      <c r="D4" t="s">
        <v>12</v>
      </c>
      <c r="E4" s="4" t="s">
        <v>35</v>
      </c>
      <c r="F4" t="s">
        <v>43</v>
      </c>
      <c r="G4" t="s">
        <v>51</v>
      </c>
      <c r="H4" s="5">
        <v>46040</v>
      </c>
    </row>
    <row r="5" spans="1:8" x14ac:dyDescent="0.3">
      <c r="A5" t="s">
        <v>20</v>
      </c>
      <c r="B5" t="s">
        <v>28</v>
      </c>
      <c r="C5">
        <v>22</v>
      </c>
      <c r="D5" t="s">
        <v>13</v>
      </c>
      <c r="E5" s="4" t="s">
        <v>36</v>
      </c>
      <c r="F5" t="s">
        <v>44</v>
      </c>
      <c r="G5" t="s">
        <v>53</v>
      </c>
      <c r="H5" s="5">
        <v>46043</v>
      </c>
    </row>
    <row r="6" spans="1:8" x14ac:dyDescent="0.3">
      <c r="A6" t="s">
        <v>21</v>
      </c>
      <c r="B6" t="s">
        <v>29</v>
      </c>
      <c r="C6">
        <v>27</v>
      </c>
      <c r="D6" t="s">
        <v>12</v>
      </c>
      <c r="E6" s="4" t="s">
        <v>37</v>
      </c>
      <c r="F6" t="s">
        <v>45</v>
      </c>
      <c r="G6" t="s">
        <v>52</v>
      </c>
      <c r="H6" s="5">
        <v>46047</v>
      </c>
    </row>
    <row r="7" spans="1:8" x14ac:dyDescent="0.3">
      <c r="A7" t="s">
        <v>22</v>
      </c>
      <c r="B7" t="s">
        <v>30</v>
      </c>
      <c r="C7">
        <v>26</v>
      </c>
      <c r="D7" t="s">
        <v>13</v>
      </c>
      <c r="E7" s="4" t="s">
        <v>38</v>
      </c>
      <c r="F7" t="s">
        <v>46</v>
      </c>
      <c r="G7" t="s">
        <v>54</v>
      </c>
      <c r="H7" s="5">
        <v>46050</v>
      </c>
    </row>
    <row r="8" spans="1:8" x14ac:dyDescent="0.3">
      <c r="A8" t="s">
        <v>23</v>
      </c>
      <c r="B8" t="s">
        <v>31</v>
      </c>
      <c r="C8">
        <v>35</v>
      </c>
      <c r="D8" t="s">
        <v>12</v>
      </c>
      <c r="E8" s="4" t="s">
        <v>39</v>
      </c>
      <c r="F8" t="s">
        <v>47</v>
      </c>
      <c r="G8" t="s">
        <v>55</v>
      </c>
      <c r="H8" s="5">
        <v>46055</v>
      </c>
    </row>
    <row r="9" spans="1:8" x14ac:dyDescent="0.3">
      <c r="A9" t="s">
        <v>24</v>
      </c>
      <c r="B9" t="s">
        <v>32</v>
      </c>
      <c r="C9">
        <v>30</v>
      </c>
      <c r="D9" t="s">
        <v>13</v>
      </c>
      <c r="E9" s="4" t="s">
        <v>40</v>
      </c>
      <c r="F9" t="s">
        <v>48</v>
      </c>
      <c r="G9" t="s">
        <v>56</v>
      </c>
      <c r="H9" s="5">
        <v>46058</v>
      </c>
    </row>
    <row r="10" spans="1:8" x14ac:dyDescent="0.3">
      <c r="A10" t="s">
        <v>25</v>
      </c>
      <c r="B10" t="s">
        <v>33</v>
      </c>
      <c r="C10">
        <v>28</v>
      </c>
      <c r="D10" t="s">
        <v>12</v>
      </c>
      <c r="E10" s="4" t="s">
        <v>41</v>
      </c>
      <c r="F10" t="s">
        <v>49</v>
      </c>
      <c r="G10" t="s">
        <v>17</v>
      </c>
      <c r="H10" s="5">
        <v>46061</v>
      </c>
    </row>
    <row r="11" spans="1:8" x14ac:dyDescent="0.3">
      <c r="A11" t="s">
        <v>26</v>
      </c>
      <c r="B11" t="s">
        <v>34</v>
      </c>
      <c r="C11">
        <v>23</v>
      </c>
      <c r="D11" t="s">
        <v>13</v>
      </c>
      <c r="E11" s="4" t="s">
        <v>42</v>
      </c>
      <c r="F11" t="s">
        <v>50</v>
      </c>
      <c r="G11" t="s">
        <v>57</v>
      </c>
      <c r="H11" s="5">
        <v>46064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Entry</vt:lpstr>
      <vt:lpstr>Reference_data</vt:lpstr>
      <vt:lpstr>Quality_Summary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Mkpoikanke Tom</dc:creator>
  <cp:lastModifiedBy>Mkpoikanke Tom</cp:lastModifiedBy>
  <dcterms:created xsi:type="dcterms:W3CDTF">2026-08-10T11:27:34Z</dcterms:created>
  <dcterms:modified xsi:type="dcterms:W3CDTF">2026-08-10T23:28:29Z</dcterms:modified>
</cp:coreProperties>
</file>